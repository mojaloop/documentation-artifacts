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6afda9a54147f31e/Working/Gates Foundation/Adventures/TigerBeetle/Accounting/"/>
    </mc:Choice>
  </mc:AlternateContent>
  <xr:revisionPtr revIDLastSave="3256" documentId="8_{9D69FD32-F710-4F33-8D66-2986CFAB0550}" xr6:coauthVersionLast="47" xr6:coauthVersionMax="47" xr10:uidLastSave="{386677DF-1B5B-46CB-B73B-D4FCE25D2655}"/>
  <bookViews>
    <workbookView xWindow="-110" yWindow="-110" windowWidth="25180" windowHeight="16140" activeTab="4" xr2:uid="{4937A550-9498-4BF4-938A-3A94803E63E1}"/>
  </bookViews>
  <sheets>
    <sheet name="Introduction" sheetId="11" r:id="rId1"/>
    <sheet name="Accounts" sheetId="9" r:id="rId2"/>
    <sheet name="Actions" sheetId="72" r:id="rId3"/>
    <sheet name="Participants" sheetId="1" r:id="rId4"/>
    <sheet name="Journal" sheetId="71" r:id="rId5"/>
    <sheet name="General Ledger" sheetId="69" r:id="rId6"/>
    <sheet name="Settlement Batches" sheetId="8" r:id="rId7"/>
  </sheets>
  <functionGroups builtInGroupCount="19"/>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 i="69" l="1"/>
  <c r="E33" i="69"/>
  <c r="E29" i="69"/>
  <c r="E25" i="69"/>
  <c r="E21" i="69"/>
  <c r="E17" i="69"/>
  <c r="E3" i="69"/>
  <c r="E12" i="69"/>
  <c r="E8" i="69"/>
  <c r="E4" i="69"/>
</calcChain>
</file>

<file path=xl/sharedStrings.xml><?xml version="1.0" encoding="utf-8"?>
<sst xmlns="http://schemas.openxmlformats.org/spreadsheetml/2006/main" count="166" uniqueCount="115">
  <si>
    <t>Name</t>
  </si>
  <si>
    <t>NDC</t>
  </si>
  <si>
    <t>WCR</t>
  </si>
  <si>
    <t>Debit</t>
  </si>
  <si>
    <t>Credit</t>
  </si>
  <si>
    <t>Action</t>
  </si>
  <si>
    <t>Participant A</t>
  </si>
  <si>
    <t>Participant B</t>
  </si>
  <si>
    <t>Amount</t>
  </si>
  <si>
    <t>Liabilities</t>
  </si>
  <si>
    <t>Assets</t>
  </si>
  <si>
    <t>Status</t>
  </si>
  <si>
    <t>Batch Name</t>
  </si>
  <si>
    <t>Mojaloop Accounts</t>
  </si>
  <si>
    <t>Represents the funds committed by the DFSP for liquidity support</t>
  </si>
  <si>
    <t>A liability, because the Mojaloop scheme is obliged to repay the funds in this account.</t>
  </si>
  <si>
    <t>Committed funds – outgoing.</t>
  </si>
  <si>
    <t>Represents obligations from other DFSPs which have been recorded by a DFSP as a consequence of completed payments.</t>
  </si>
  <si>
    <t>A liability, because the Mojaloop scheme will disburse them in the process of settlement.</t>
  </si>
  <si>
    <t>Represents pending obligations to receiving DFSPs which will be paid in settlement</t>
  </si>
  <si>
    <t>An asset, because the Mojaloop scheme will receive them in the process of settlement.</t>
  </si>
  <si>
    <t>Unrestricted funds.</t>
  </si>
  <si>
    <t>Balances against the DFSP’s asset account representing settled funds under management that are not otherwise pending or committed.</t>
  </si>
  <si>
    <t>Can be called by the DFSP via an RTGS withdrawal at any time.</t>
  </si>
  <si>
    <t>An asset, because the Mojaloop scheme can use these funds to support payment activity.</t>
  </si>
  <si>
    <t>Restricted funds.</t>
  </si>
  <si>
    <t>Reserved funds.</t>
  </si>
  <si>
    <t>Represents funds which have been reserved by the Mojaloop scheme to cover expected liabilities.</t>
  </si>
  <si>
    <t>Committed funds – incoming.</t>
  </si>
  <si>
    <t>Represents obligations to other DFSPs which have been incurred by a DFSP as a consequence of completed payments.</t>
  </si>
  <si>
    <t>You may change the names of the accounts, but do not change their order, or add or remove entries</t>
  </si>
  <si>
    <t>This simulator is designed for experiments on the Mojaloop accounting model.</t>
  </si>
  <si>
    <t>You may set up any number of participants by adding their names in the Participants tab.</t>
  </si>
  <si>
    <t>A Net Debit Cap places a mximum on the amount of a participant's deposited funds that may be used to support their transfer activities.</t>
  </si>
  <si>
    <t>If the Working Capital Reduction is in place, participants get credit for payments where they are the payee immediately the payment completes.</t>
  </si>
  <si>
    <t>If not, participants are credited for payments where they are the payee when the payment is settled.</t>
  </si>
  <si>
    <t>Mojaloop Accounting Simulator</t>
  </si>
  <si>
    <t>Participant C</t>
  </si>
  <si>
    <t>The Settlement Batches tab shows you the available settlement batches, and the status of each batch. It gets cleared when you press reset.</t>
  </si>
  <si>
    <t>Count</t>
  </si>
  <si>
    <t>The Participants tab lets you define participants, and set their NDC and whether they use Working Capital Reduction or not. Press Reset after you've made changes, and you'll see them reflected in the form. If you want a participant not to have an NDC, just leave the entry blank.</t>
  </si>
  <si>
    <t>The Accounts tab describes the accounts which are used in the accounting model. You may change the names of the accounts, but not their number or order.</t>
  </si>
  <si>
    <t>GUID</t>
  </si>
  <si>
    <t>DFSP</t>
  </si>
  <si>
    <t>Batch</t>
  </si>
  <si>
    <t>Note</t>
  </si>
  <si>
    <t>Owes</t>
  </si>
  <si>
    <t>Is owed</t>
  </si>
  <si>
    <t>For each participant, you may specify whether they have a Net Debit Cap in place, and whether or not the Working Capital Reduction is in place.</t>
  </si>
  <si>
    <t>The Journal tab shows you the deposits and payments recorded by the system. It gets cleared when you press reset. Otherwise, new actions will get added to this sheet.</t>
  </si>
  <si>
    <t>Deposit funds</t>
  </si>
  <si>
    <t>Make a payment</t>
  </si>
  <si>
    <t>Category</t>
  </si>
  <si>
    <t>Account</t>
  </si>
  <si>
    <t>Participant</t>
  </si>
  <si>
    <t>Balance</t>
  </si>
  <si>
    <t>Step</t>
  </si>
  <si>
    <t>Credited</t>
  </si>
  <si>
    <t>Yes</t>
  </si>
  <si>
    <t>Represents funds which are available to support transactions as a consequence of completed transfers where the DFSP is the payee.</t>
  </si>
  <si>
    <t>Actions</t>
  </si>
  <si>
    <t>Check whether the depositor has a net debit cap in place.</t>
  </si>
  <si>
    <t>If there is no NDC in place, the entire deposit will be used to support transfers.</t>
  </si>
  <si>
    <t>If there is an NDC in place, but the deposit would not breach the NDC, the entire deposit will be used to support transfers.</t>
  </si>
  <si>
    <t>Otherwise, the portion of the deposit up to the NDC is used to support transfers, and the balance is placed in restricted funds.</t>
  </si>
  <si>
    <t>Credit the Deposit Account with the amount which can be used to support transfers, and debit the Unrestricted Funds account</t>
  </si>
  <si>
    <t>If step 2 did not exhaust the balance of the deposit, then credit the deposit account with the remainder, ande debit the Restricted Funds account</t>
  </si>
  <si>
    <t>Check whether the balance in the Payer's Unrestricted Funds account is greater than the amount of the payment. If it is not, reject the payment (Liquidity check)</t>
  </si>
  <si>
    <t>Completion phase</t>
  </si>
  <si>
    <t>Debit the payer's Committed Funds - Incoming account with the amount of the payment, and credit the payee's Committed Funds - Outgoing account.</t>
  </si>
  <si>
    <t>Debit the amount of the payment from the payer's Pre-settlement account, and credit their Reserved Funds account.</t>
  </si>
  <si>
    <t>If the payee has WCR enabled.</t>
  </si>
  <si>
    <t>3.3.1</t>
  </si>
  <si>
    <t>Debit the payee's Committed funds - Outgoing account with the amount of the payment, and credit the payer's Pre-settlement account</t>
  </si>
  <si>
    <t>3.3.2</t>
  </si>
  <si>
    <t>Debit the payee's Unrestricted Funds account with the amount of the payment, and credit the payee's Working Capital Reduction account</t>
  </si>
  <si>
    <t>Settle a settlement batch</t>
  </si>
  <si>
    <t>For each participant, calculate:</t>
  </si>
  <si>
    <t>The sum of the payments which belong to the batch where the participant is the payee and Working Capital Reduction was enabled.</t>
  </si>
  <si>
    <t>The sum of the payments which belong to the batch where the participant is the payee and Working Capital Reduction was not enabled.</t>
  </si>
  <si>
    <t>For each non-zero value:</t>
  </si>
  <si>
    <t>The sum of the payments which belong to the batch where the participant is the payer</t>
  </si>
  <si>
    <t>If this is a result from operation 1.1, debit the participant's Deposit account and credit the participant's Committed Funds - Inbound account with the calculated value</t>
  </si>
  <si>
    <t>If this is a result from operation 1.3:</t>
  </si>
  <si>
    <t>2.3.1</t>
  </si>
  <si>
    <t>Debit the participant's Committed Funds - Inbound account and credit the participant's Deposit account with the calculated value</t>
  </si>
  <si>
    <t>If this is a result from operation 1.2, debit the participant's Working Capital Reduction account and credit the participant's Deposit account with the calculated value</t>
  </si>
  <si>
    <t>2.3.2</t>
  </si>
  <si>
    <t>Debit the participant's Unrestricted Funds account and credit the participant's Pre-settlement account with the calculated value</t>
  </si>
  <si>
    <t>Move funds</t>
  </si>
  <si>
    <t>If the requested movement is positive, this is a movement from Restricted to Unrestricted Funds</t>
  </si>
  <si>
    <t>If the requested amount is greater than the balance in the Restricted Funds account, debit the Unrestricted Funds account and credit the Restricted Funds account with the balance of the Restricted Funds account</t>
  </si>
  <si>
    <t>Otherwise, debit the Unrestricted Funds account and credit the Restricted Funds account with the requested amount</t>
  </si>
  <si>
    <t>Otherwise:</t>
  </si>
  <si>
    <t>If the requested amount is greater than the balance in the Unrestricted Funds account, debit the Restricted Funds account and credit the Unrestricted Funds account with the balance of the Unrestricted Funds account</t>
  </si>
  <si>
    <t>Otherwise, debit the Restricted Funds account and credit the Unrestricted Funds account with the requested amount</t>
  </si>
  <si>
    <t>Debit the amount of the payment from the payer's Reserved Funds account, and credit the payer's Unrestricted Funds account.</t>
  </si>
  <si>
    <t>Pre-settlement Draw</t>
  </si>
  <si>
    <t>Account number</t>
  </si>
  <si>
    <t>Deposit funds for immediate use</t>
  </si>
  <si>
    <t>Deposit restricted funds</t>
  </si>
  <si>
    <t>Reserve payment amount</t>
  </si>
  <si>
    <t>Clear reservation</t>
  </si>
  <si>
    <t>Record settlement obligations</t>
  </si>
  <si>
    <t>Remove payment from settlement obligation</t>
  </si>
  <si>
    <t>Make payment credit available for transfers</t>
  </si>
  <si>
    <t>Journal Step</t>
  </si>
  <si>
    <t>Clear settlement obligation</t>
  </si>
  <si>
    <t>Record settlement benefit</t>
  </si>
  <si>
    <t>Record WCR credit</t>
  </si>
  <si>
    <t>Make settlement funds available for transfers</t>
  </si>
  <si>
    <t>ID</t>
  </si>
  <si>
    <t>Deposit</t>
  </si>
  <si>
    <t>Pre-settlement</t>
  </si>
  <si>
    <t>Represents funds which have been restricted by the owner of the funds and which may not be used to cover expected liabilities.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</si>
</sst>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8" x14ac:knownFonts="1">
    <font>
      <sz val="11"/>
      <color theme="1"/>
      <name val="Aptos Narrow"/>
      <family val="2"/>
      <scheme val="minor"/>
    </font>
    <font>
      <b/>
      <sz val="11"/>
      <color theme="1"/>
      <name val="Aptos Narrow"/>
      <family val="2"/>
      <scheme val="minor"/>
    </font>
    <font>
      <b/>
      <sz val="14"/>
      <color theme="1"/>
      <name val="Aptos Narrow"/>
      <family val="2"/>
      <scheme val="minor"/>
    </font>
    <font>
      <b/>
      <sz val="16"/>
      <color theme="1"/>
      <name val="Aptos Narrow"/>
      <family val="2"/>
      <scheme val="minor"/>
    </font>
    <font>
      <b/>
      <sz val="24"/>
      <color theme="1"/>
      <name val="Aptos Narrow"/>
      <family val="2"/>
      <scheme val="minor"/>
    </font>
    <font>
      <sz val="11"/>
      <color rgb="FF000000"/>
      <name val="Aptos Narrow"/>
      <family val="2"/>
    </font>
    <font>
      <b/>
      <sz val="22"/>
      <color theme="1"/>
      <name val="Aptos Narrow"/>
      <family val="2"/>
      <scheme val="minor"/>
    </font>
    <font>
      <sz val="72"/>
      <color theme="1"/>
      <name val="Aptos Narrow"/>
      <family val="2"/>
      <scheme val="minor"/>
    </font>
  </fonts>
  <fills count="2">
    <fill>
      <patternFill patternType="none"/>
    </fill>
    <fill>
      <patternFill patternType="gray125"/>
    </fill>
  </fills>
  <borders count="8">
    <border>
      <left/>
      <right/>
      <top/>
      <bottom/>
      <diagonal/>
    </border>
    <border>
      <left/>
      <right/>
      <top/>
      <bottom style="thin">
        <color indexed="64"/>
      </bottom>
      <diagonal/>
    </border>
    <border>
      <left/>
      <right/>
      <top/>
      <bottom style="thin">
        <color auto="1"/>
      </bottom>
      <diagonal/>
    </border>
    <border>
      <left/>
      <right/>
      <top/>
      <bottom style="thin">
        <color auto="1"/>
      </bottom>
      <diagonal/>
    </border>
    <border>
      <left/>
      <right/>
      <top/>
      <bottom style="thin">
        <color auto="1"/>
      </bottom>
      <diagonal/>
    </border>
    <border>
      <left/>
      <right/>
      <top/>
      <bottom style="thin">
        <color auto="1"/>
      </bottom>
      <diagonal/>
    </border>
    <border>
      <left/>
      <right/>
      <top/>
      <bottom style="thin">
        <color auto="1"/>
      </bottom>
      <diagonal/>
    </border>
    <border>
      <left/>
      <right/>
      <top/>
      <bottom style="thin">
        <color auto="1"/>
      </bottom>
      <diagonal/>
    </border>
  </borders>
  <cellStyleXfs count="1">
    <xf numFmtId="0" fontId="0" fillId="0" borderId="0"/>
  </cellStyleXfs>
  <cellXfs count="19">
    <xf numFmtId="0" fontId="0" fillId="0" borderId="0" xfId="0"/>
    <xf numFmtId="0" fontId="1" fillId="0" borderId="1" xfId="0" applyFont="1" applyBorder="1" applyAlignment="1">
      <alignment horizontal="center"/>
    </xf>
    <xf numFmtId="0" fontId="1" fillId="0" borderId="0" xfId="0" applyFont="1"/>
    <xf numFmtId="0" fontId="2" fillId="0" borderId="0" xfId="0" applyFont="1"/>
    <xf numFmtId="0" fontId="3" fillId="0" borderId="0" xfId="0" applyFont="1" applyAlignment="1">
      <alignment horizontal="centerContinuous"/>
    </xf>
    <xf numFmtId="0" fontId="4"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1" fillId="0" borderId="2" xfId="0" applyFont="1" applyBorder="1" applyAlignment="1">
      <alignment horizontal="center"/>
    </xf>
    <xf numFmtId="0" fontId="6" fillId="0" borderId="0" xfId="0" applyFont="1" applyAlignment="1">
      <alignment horizontal="centerContinuous"/>
    </xf>
    <xf numFmtId="0" fontId="0" fillId="0" borderId="0" xfId="0" applyAlignment="1">
      <alignment horizontal="centerContinuous"/>
    </xf>
    <xf numFmtId="0" fontId="1" fillId="0" borderId="3" xfId="0" applyFont="1" applyBorder="1" applyAlignment="1">
      <alignment horizontal="center"/>
    </xf>
    <xf numFmtId="164" fontId="0" fillId="0" borderId="0" xfId="0" applyNumberFormat="1"/>
    <xf numFmtId="0" fontId="1" fillId="0" borderId="4" xfId="0" applyFont="1" applyBorder="1" applyAlignment="1">
      <alignment horizontal="center"/>
    </xf>
    <xf numFmtId="0" fontId="1" fillId="0" borderId="5" xfId="0" applyFont="1" applyBorder="1" applyAlignment="1">
      <alignment horizontal="center"/>
    </xf>
    <xf numFmtId="0" fontId="7" fillId="0" borderId="0" xfId="0" applyFont="1"/>
    <xf numFmtId="0" fontId="0" fillId="0" borderId="6" xfId="0" applyBorder="1"/>
    <xf numFmtId="0" fontId="0" fillId="0" borderId="6" xfId="0" applyBorder="1" applyAlignment="1">
      <alignment wrapText="1"/>
    </xf>
    <xf numFmtId="0" fontId="1" fillId="0" borderId="7"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12407900</xdr:colOff>
          <xdr:row>0</xdr:row>
          <xdr:rowOff>76200</xdr:rowOff>
        </xdr:from>
        <xdr:to>
          <xdr:col>0</xdr:col>
          <xdr:colOff>13843000</xdr:colOff>
          <xdr:row>1</xdr:row>
          <xdr:rowOff>127000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Simulate...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98E5B-944E-4E4E-B4CA-6636B4CC46FD}">
  <sheetPr codeName="Sheet8"/>
  <dimension ref="A1:A17"/>
  <sheetViews>
    <sheetView zoomScaleNormal="100" workbookViewId="0">
      <selection activeCell="A2" sqref="A2"/>
    </sheetView>
  </sheetViews>
  <sheetFormatPr defaultRowHeight="14.5" x14ac:dyDescent="0.35"/>
  <cols>
    <col min="1" max="1" width="213.7265625" customWidth="1"/>
  </cols>
  <sheetData>
    <row r="1" spans="1:1" ht="31" x14ac:dyDescent="0.7">
      <c r="A1" s="5" t="s">
        <v>36</v>
      </c>
    </row>
    <row r="4" spans="1:1" x14ac:dyDescent="0.35">
      <c r="A4" t="s">
        <v>31</v>
      </c>
    </row>
    <row r="5" spans="1:1" x14ac:dyDescent="0.35">
      <c r="A5" t="s">
        <v>32</v>
      </c>
    </row>
    <row r="6" spans="1:1" x14ac:dyDescent="0.35">
      <c r="A6" t="s">
        <v>48</v>
      </c>
    </row>
    <row r="7" spans="1:1" x14ac:dyDescent="0.35">
      <c r="A7" t="s">
        <v>33</v>
      </c>
    </row>
    <row r="8" spans="1:1" x14ac:dyDescent="0.35">
      <c r="A8" t="s">
        <v>34</v>
      </c>
    </row>
    <row r="9" spans="1:1" x14ac:dyDescent="0.35">
      <c r="A9" t="s">
        <v>35</v>
      </c>
    </row>
    <row r="11" spans="1:1" x14ac:dyDescent="0.35">
      <c r="A11" t="s">
        <v>41</v>
      </c>
    </row>
    <row r="13" spans="1:1" x14ac:dyDescent="0.35">
      <c r="A13" t="s">
        <v>40</v>
      </c>
    </row>
    <row r="15" spans="1:1" x14ac:dyDescent="0.35">
      <c r="A15" t="s">
        <v>49</v>
      </c>
    </row>
    <row r="17" spans="1:1" x14ac:dyDescent="0.35">
      <c r="A17" t="s">
        <v>38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1_Click">
                <anchor moveWithCells="1" sizeWithCells="1">
                  <from>
                    <xdr:col>0</xdr:col>
                    <xdr:colOff>12407900</xdr:colOff>
                    <xdr:row>0</xdr:row>
                    <xdr:rowOff>76200</xdr:rowOff>
                  </from>
                  <to>
                    <xdr:col>0</xdr:col>
                    <xdr:colOff>13843000</xdr:colOff>
                    <xdr:row>1</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8041-330C-4053-BF25-94AA774AE02D}">
  <sheetPr codeName="Sheet4"/>
  <dimension ref="A2:P32"/>
  <sheetViews>
    <sheetView zoomScaleNormal="100" workbookViewId="0">
      <selection activeCell="C14" sqref="C14"/>
    </sheetView>
  </sheetViews>
  <sheetFormatPr defaultRowHeight="14.5" x14ac:dyDescent="0.35"/>
  <cols>
    <col min="1" max="1" width="13.1796875" customWidth="1"/>
  </cols>
  <sheetData>
    <row r="2" spans="1:16" ht="21" x14ac:dyDescent="0.5">
      <c r="A2" s="4" t="s">
        <v>13</v>
      </c>
      <c r="B2" s="4"/>
      <c r="C2" s="4"/>
      <c r="D2" s="4"/>
      <c r="E2" s="4"/>
      <c r="F2" s="4"/>
      <c r="G2" s="4"/>
      <c r="H2" s="4"/>
      <c r="I2" s="4"/>
      <c r="J2" s="4"/>
      <c r="K2" s="4"/>
      <c r="L2" s="4"/>
      <c r="M2" s="4"/>
      <c r="N2" s="4"/>
      <c r="O2" s="4"/>
      <c r="P2" s="4"/>
    </row>
    <row r="4" spans="1:16" x14ac:dyDescent="0.35">
      <c r="A4" t="s">
        <v>30</v>
      </c>
    </row>
    <row r="6" spans="1:16" ht="18.5" x14ac:dyDescent="0.45">
      <c r="A6" s="3" t="s">
        <v>9</v>
      </c>
      <c r="B6" s="3">
        <v>2</v>
      </c>
    </row>
    <row r="7" spans="1:16" x14ac:dyDescent="0.35">
      <c r="B7">
        <v>1</v>
      </c>
      <c r="C7" s="2" t="s">
        <v>112</v>
      </c>
    </row>
    <row r="8" spans="1:16" x14ac:dyDescent="0.35">
      <c r="D8" t="s">
        <v>14</v>
      </c>
    </row>
    <row r="9" spans="1:16" x14ac:dyDescent="0.35">
      <c r="D9" t="s">
        <v>15</v>
      </c>
    </row>
    <row r="10" spans="1:16" x14ac:dyDescent="0.35">
      <c r="B10">
        <v>2</v>
      </c>
      <c r="C10" s="2" t="s">
        <v>16</v>
      </c>
    </row>
    <row r="11" spans="1:16" x14ac:dyDescent="0.35">
      <c r="D11" t="s">
        <v>17</v>
      </c>
    </row>
    <row r="12" spans="1:16" x14ac:dyDescent="0.35">
      <c r="D12" t="s">
        <v>18</v>
      </c>
    </row>
    <row r="13" spans="1:16" x14ac:dyDescent="0.35">
      <c r="B13">
        <v>3</v>
      </c>
      <c r="C13" s="2" t="s">
        <v>113</v>
      </c>
    </row>
    <row r="14" spans="1:16" x14ac:dyDescent="0.35">
      <c r="D14" t="s">
        <v>19</v>
      </c>
    </row>
    <row r="15" spans="1:16" x14ac:dyDescent="0.35">
      <c r="D15" t="s">
        <v>18</v>
      </c>
    </row>
    <row r="16" spans="1:16" ht="18.5" x14ac:dyDescent="0.45">
      <c r="A16" s="3" t="s">
        <v>10</v>
      </c>
      <c r="B16" s="3">
        <v>1</v>
      </c>
    </row>
    <row r="17" spans="2:4" x14ac:dyDescent="0.35">
      <c r="B17">
        <v>4</v>
      </c>
      <c r="C17" s="2" t="s">
        <v>21</v>
      </c>
    </row>
    <row r="18" spans="2:4" x14ac:dyDescent="0.35">
      <c r="D18" t="s">
        <v>22</v>
      </c>
    </row>
    <row r="19" spans="2:4" x14ac:dyDescent="0.35">
      <c r="D19" t="s">
        <v>23</v>
      </c>
    </row>
    <row r="20" spans="2:4" x14ac:dyDescent="0.35">
      <c r="D20" t="s">
        <v>24</v>
      </c>
    </row>
    <row r="21" spans="2:4" x14ac:dyDescent="0.35">
      <c r="B21">
        <v>5</v>
      </c>
      <c r="C21" s="2" t="s">
        <v>25</v>
      </c>
    </row>
    <row r="22" spans="2:4" x14ac:dyDescent="0.35">
      <c r="D22" t="s">
        <v>114</v>
      </c>
    </row>
    <row r="23" spans="2:4" x14ac:dyDescent="0.35">
      <c r="D23" t="s">
        <v>24</v>
      </c>
    </row>
    <row r="24" spans="2:4" x14ac:dyDescent="0.35">
      <c r="B24">
        <v>6</v>
      </c>
      <c r="C24" s="2" t="s">
        <v>26</v>
      </c>
    </row>
    <row r="25" spans="2:4" x14ac:dyDescent="0.35">
      <c r="D25" t="s">
        <v>27</v>
      </c>
    </row>
    <row r="26" spans="2:4" x14ac:dyDescent="0.35">
      <c r="D26" t="s">
        <v>24</v>
      </c>
    </row>
    <row r="27" spans="2:4" x14ac:dyDescent="0.35">
      <c r="B27">
        <v>7</v>
      </c>
      <c r="C27" s="2" t="s">
        <v>28</v>
      </c>
    </row>
    <row r="28" spans="2:4" x14ac:dyDescent="0.35">
      <c r="D28" t="s">
        <v>29</v>
      </c>
    </row>
    <row r="29" spans="2:4" x14ac:dyDescent="0.35">
      <c r="D29" t="s">
        <v>20</v>
      </c>
    </row>
    <row r="30" spans="2:4" x14ac:dyDescent="0.35">
      <c r="B30">
        <v>8</v>
      </c>
      <c r="C30" s="2" t="s">
        <v>97</v>
      </c>
    </row>
    <row r="31" spans="2:4" x14ac:dyDescent="0.35">
      <c r="D31" t="s">
        <v>59</v>
      </c>
    </row>
    <row r="32" spans="2:4" x14ac:dyDescent="0.35">
      <c r="D32"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C848E-9A3E-4FB7-AFED-892772BFB0BB}">
  <sheetPr codeName="Sheet2"/>
  <dimension ref="A1:F37"/>
  <sheetViews>
    <sheetView workbookViewId="0">
      <selection activeCell="B11" sqref="B11"/>
    </sheetView>
  </sheetViews>
  <sheetFormatPr defaultRowHeight="14.5" x14ac:dyDescent="0.35"/>
  <cols>
    <col min="1" max="1" width="16.26953125" customWidth="1"/>
    <col min="2" max="2" width="28.1796875" customWidth="1"/>
    <col min="3" max="3" width="8.36328125" customWidth="1"/>
    <col min="4" max="4" width="28.90625" customWidth="1"/>
    <col min="5" max="5" width="15.7265625" customWidth="1"/>
  </cols>
  <sheetData>
    <row r="1" spans="1:5" ht="28.5" x14ac:dyDescent="0.65">
      <c r="A1" s="9" t="s">
        <v>60</v>
      </c>
      <c r="B1" s="9"/>
      <c r="C1" s="10"/>
    </row>
    <row r="2" spans="1:5" x14ac:dyDescent="0.35">
      <c r="A2" s="14" t="s">
        <v>5</v>
      </c>
      <c r="B2" s="14" t="s">
        <v>106</v>
      </c>
      <c r="C2" s="14" t="s">
        <v>111</v>
      </c>
    </row>
    <row r="3" spans="1:5" x14ac:dyDescent="0.35">
      <c r="A3" t="s">
        <v>50</v>
      </c>
    </row>
    <row r="4" spans="1:5" x14ac:dyDescent="0.35">
      <c r="C4">
        <v>1</v>
      </c>
      <c r="D4" t="s">
        <v>61</v>
      </c>
    </row>
    <row r="5" spans="1:5" x14ac:dyDescent="0.35">
      <c r="D5">
        <v>1.1000000000000001</v>
      </c>
      <c r="E5" t="s">
        <v>62</v>
      </c>
    </row>
    <row r="6" spans="1:5" x14ac:dyDescent="0.35">
      <c r="D6">
        <v>1.2</v>
      </c>
      <c r="E6" t="s">
        <v>63</v>
      </c>
    </row>
    <row r="7" spans="1:5" x14ac:dyDescent="0.35">
      <c r="D7">
        <v>1.3</v>
      </c>
      <c r="E7" t="s">
        <v>64</v>
      </c>
    </row>
    <row r="8" spans="1:5" x14ac:dyDescent="0.35">
      <c r="B8" t="s">
        <v>99</v>
      </c>
      <c r="C8">
        <v>2</v>
      </c>
      <c r="D8" t="s">
        <v>65</v>
      </c>
    </row>
    <row r="9" spans="1:5" x14ac:dyDescent="0.35">
      <c r="B9" t="s">
        <v>100</v>
      </c>
      <c r="C9">
        <v>3</v>
      </c>
      <c r="D9" t="s">
        <v>66</v>
      </c>
    </row>
    <row r="11" spans="1:5" x14ac:dyDescent="0.35">
      <c r="A11" t="s">
        <v>51</v>
      </c>
      <c r="C11">
        <v>1</v>
      </c>
      <c r="D11" t="s">
        <v>67</v>
      </c>
    </row>
    <row r="12" spans="1:5" x14ac:dyDescent="0.35">
      <c r="B12" t="s">
        <v>101</v>
      </c>
      <c r="C12">
        <v>2</v>
      </c>
      <c r="D12" t="s">
        <v>96</v>
      </c>
    </row>
    <row r="13" spans="1:5" x14ac:dyDescent="0.35">
      <c r="C13">
        <v>3</v>
      </c>
      <c r="D13" t="s">
        <v>68</v>
      </c>
    </row>
    <row r="14" spans="1:5" x14ac:dyDescent="0.35">
      <c r="B14" t="s">
        <v>102</v>
      </c>
      <c r="D14">
        <v>3.1</v>
      </c>
      <c r="E14" t="s">
        <v>70</v>
      </c>
    </row>
    <row r="15" spans="1:5" x14ac:dyDescent="0.35">
      <c r="B15" t="s">
        <v>103</v>
      </c>
      <c r="D15">
        <v>3.2</v>
      </c>
      <c r="E15" t="s">
        <v>69</v>
      </c>
    </row>
    <row r="16" spans="1:5" x14ac:dyDescent="0.35">
      <c r="D16">
        <v>3.3</v>
      </c>
      <c r="E16" t="s">
        <v>71</v>
      </c>
    </row>
    <row r="17" spans="1:6" x14ac:dyDescent="0.35">
      <c r="B17" t="s">
        <v>104</v>
      </c>
      <c r="E17" t="s">
        <v>72</v>
      </c>
      <c r="F17" t="s">
        <v>73</v>
      </c>
    </row>
    <row r="18" spans="1:6" x14ac:dyDescent="0.35">
      <c r="B18" t="s">
        <v>105</v>
      </c>
      <c r="E18" t="s">
        <v>74</v>
      </c>
      <c r="F18" t="s">
        <v>75</v>
      </c>
    </row>
    <row r="20" spans="1:6" x14ac:dyDescent="0.35">
      <c r="A20" t="s">
        <v>76</v>
      </c>
    </row>
    <row r="21" spans="1:6" x14ac:dyDescent="0.35">
      <c r="C21">
        <v>1</v>
      </c>
      <c r="D21" t="s">
        <v>77</v>
      </c>
    </row>
    <row r="22" spans="1:6" x14ac:dyDescent="0.35">
      <c r="D22">
        <v>1.1000000000000001</v>
      </c>
      <c r="E22" t="s">
        <v>81</v>
      </c>
    </row>
    <row r="23" spans="1:6" x14ac:dyDescent="0.35">
      <c r="D23">
        <v>1.2</v>
      </c>
      <c r="E23" t="s">
        <v>78</v>
      </c>
    </row>
    <row r="24" spans="1:6" x14ac:dyDescent="0.35">
      <c r="D24">
        <v>1.3</v>
      </c>
      <c r="E24" t="s">
        <v>79</v>
      </c>
    </row>
    <row r="25" spans="1:6" x14ac:dyDescent="0.35">
      <c r="C25">
        <v>2</v>
      </c>
      <c r="D25" t="s">
        <v>80</v>
      </c>
    </row>
    <row r="26" spans="1:6" x14ac:dyDescent="0.35">
      <c r="B26" t="s">
        <v>107</v>
      </c>
      <c r="D26">
        <v>2.1</v>
      </c>
      <c r="E26" t="s">
        <v>82</v>
      </c>
    </row>
    <row r="27" spans="1:6" x14ac:dyDescent="0.35">
      <c r="B27" t="s">
        <v>109</v>
      </c>
      <c r="D27">
        <v>2.2000000000000002</v>
      </c>
      <c r="E27" t="s">
        <v>86</v>
      </c>
    </row>
    <row r="28" spans="1:6" x14ac:dyDescent="0.35">
      <c r="D28">
        <v>2.2999999999999998</v>
      </c>
      <c r="E28" t="s">
        <v>83</v>
      </c>
    </row>
    <row r="29" spans="1:6" x14ac:dyDescent="0.35">
      <c r="B29" t="s">
        <v>108</v>
      </c>
      <c r="E29" t="s">
        <v>84</v>
      </c>
      <c r="F29" t="s">
        <v>85</v>
      </c>
    </row>
    <row r="30" spans="1:6" x14ac:dyDescent="0.35">
      <c r="B30" t="s">
        <v>110</v>
      </c>
      <c r="E30" t="s">
        <v>87</v>
      </c>
      <c r="F30" t="s">
        <v>88</v>
      </c>
    </row>
    <row r="32" spans="1:6" x14ac:dyDescent="0.35">
      <c r="A32" t="s">
        <v>89</v>
      </c>
      <c r="C32">
        <v>1</v>
      </c>
      <c r="D32" t="s">
        <v>90</v>
      </c>
    </row>
    <row r="33" spans="3:5" x14ac:dyDescent="0.35">
      <c r="D33">
        <v>1.1000000000000001</v>
      </c>
      <c r="E33" t="s">
        <v>91</v>
      </c>
    </row>
    <row r="34" spans="3:5" x14ac:dyDescent="0.35">
      <c r="D34">
        <v>1.2</v>
      </c>
      <c r="E34" t="s">
        <v>92</v>
      </c>
    </row>
    <row r="35" spans="3:5" x14ac:dyDescent="0.35">
      <c r="C35">
        <v>2</v>
      </c>
      <c r="D35" t="s">
        <v>93</v>
      </c>
    </row>
    <row r="36" spans="3:5" x14ac:dyDescent="0.35">
      <c r="D36">
        <v>2.1</v>
      </c>
      <c r="E36" t="s">
        <v>94</v>
      </c>
    </row>
    <row r="37" spans="3:5" x14ac:dyDescent="0.35">
      <c r="D37">
        <v>2.2000000000000002</v>
      </c>
      <c r="E37" t="s">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7D8D4-472D-4138-9D96-E42395BD3312}">
  <sheetPr codeName="Sheet1"/>
  <dimension ref="A3:C6"/>
  <sheetViews>
    <sheetView workbookViewId="0">
      <selection activeCell="B5" sqref="B5"/>
    </sheetView>
  </sheetViews>
  <sheetFormatPr defaultRowHeight="14.5" x14ac:dyDescent="0.35"/>
  <cols>
    <col min="1" max="1" width="29.7265625" customWidth="1"/>
  </cols>
  <sheetData>
    <row r="3" spans="1:3" x14ac:dyDescent="0.35">
      <c r="A3" s="1" t="s">
        <v>0</v>
      </c>
      <c r="B3" s="1" t="s">
        <v>1</v>
      </c>
      <c r="C3" s="1" t="s">
        <v>2</v>
      </c>
    </row>
    <row r="4" spans="1:3" x14ac:dyDescent="0.35">
      <c r="A4" t="s">
        <v>6</v>
      </c>
      <c r="B4">
        <v>750</v>
      </c>
      <c r="C4" t="b">
        <v>0</v>
      </c>
    </row>
    <row r="5" spans="1:3" x14ac:dyDescent="0.35">
      <c r="A5" t="s">
        <v>7</v>
      </c>
      <c r="B5">
        <v>500</v>
      </c>
      <c r="C5" t="s">
        <v>58</v>
      </c>
    </row>
    <row r="6" spans="1:3" x14ac:dyDescent="0.35">
      <c r="A6" t="s">
        <v>37</v>
      </c>
      <c r="C6" t="b">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60672-9EEB-4780-8C28-7B60A95F0AD3}">
  <sheetPr codeName="Sheet13">
    <outlinePr summaryBelow="0" summaryRight="0"/>
  </sheetPr>
  <dimension ref="A1:J3"/>
  <sheetViews>
    <sheetView tabSelected="1" zoomScaleNormal="100" workbookViewId="0">
      <pane ySplit="3" topLeftCell="A4" activePane="bottomLeft" state="frozen"/>
      <selection pane="bottomLeft"/>
    </sheetView>
  </sheetViews>
  <sheetFormatPr defaultRowHeight="14.5" x14ac:dyDescent="0.35"/>
  <cols>
    <col min="1" max="1" width="14.453125" bestFit="1" customWidth="1"/>
    <col min="2" max="2" width="36.453125" bestFit="1" customWidth="1"/>
    <col min="3" max="3" width="37.90625" bestFit="1" customWidth="1"/>
    <col min="4" max="4" width="16.54296875" bestFit="1" customWidth="1"/>
    <col min="5" max="5" width="17.90625" bestFit="1" customWidth="1"/>
    <col min="6" max="6" width="24.453125" bestFit="1" customWidth="1"/>
    <col min="7" max="7" width="15.54296875" customWidth="1"/>
    <col min="8" max="9" width="10.6328125" customWidth="1"/>
  </cols>
  <sheetData>
    <row r="1" spans="1:10" ht="93.5" x14ac:dyDescent="2.1">
      <c r="A1" s="15"/>
    </row>
    <row r="2" spans="1:10" x14ac:dyDescent="0.35">
      <c r="E2" s="6"/>
      <c r="F2" s="6"/>
      <c r="G2" s="6"/>
      <c r="H2" s="6" t="s">
        <v>3</v>
      </c>
      <c r="I2" s="6" t="s">
        <v>4</v>
      </c>
    </row>
    <row r="3" spans="1:10" x14ac:dyDescent="0.35">
      <c r="A3" s="1" t="s">
        <v>5</v>
      </c>
      <c r="B3" s="8" t="s">
        <v>56</v>
      </c>
      <c r="C3" s="1" t="s">
        <v>42</v>
      </c>
      <c r="D3" s="1" t="s">
        <v>44</v>
      </c>
      <c r="E3" s="1" t="s">
        <v>43</v>
      </c>
      <c r="F3" s="8" t="s">
        <v>53</v>
      </c>
      <c r="G3" s="13" t="s">
        <v>52</v>
      </c>
      <c r="H3" s="11" t="s">
        <v>8</v>
      </c>
      <c r="I3" s="1" t="s">
        <v>8</v>
      </c>
      <c r="J3" s="1" t="s">
        <v>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72C99-029D-4753-B9C0-3035458C4430}">
  <sheetPr codeName="Sheet11">
    <outlinePr summaryBelow="0" summaryRight="0"/>
  </sheetPr>
  <dimension ref="A2:E36"/>
  <sheetViews>
    <sheetView zoomScaleNormal="100" workbookViewId="0">
      <selection activeCell="E19" sqref="E19"/>
    </sheetView>
  </sheetViews>
  <sheetFormatPr defaultRowHeight="14.5" outlineLevelRow="2" x14ac:dyDescent="0.35"/>
  <cols>
    <col min="1" max="1" width="20.6328125" customWidth="1"/>
    <col min="2" max="2" width="40.6328125" customWidth="1"/>
    <col min="3" max="3" width="20.6328125" customWidth="1"/>
    <col min="4" max="20" width="8.7265625" customWidth="1"/>
  </cols>
  <sheetData>
    <row r="2" spans="1:5" ht="29" x14ac:dyDescent="0.35">
      <c r="A2" s="16" t="s">
        <v>52</v>
      </c>
      <c r="B2" s="16" t="s">
        <v>53</v>
      </c>
      <c r="C2" s="16" t="s">
        <v>54</v>
      </c>
      <c r="D2" s="17" t="s">
        <v>98</v>
      </c>
      <c r="E2" s="16" t="s">
        <v>55</v>
      </c>
    </row>
    <row r="3" spans="1:5" x14ac:dyDescent="0.35">
      <c r="A3" t="s">
        <v>9</v>
      </c>
      <c r="D3">
        <v>200000</v>
      </c>
      <c r="E3" s="12">
        <f>E4+E8+E12</f>
        <v>0</v>
      </c>
    </row>
    <row r="4" spans="1:5" outlineLevel="1" x14ac:dyDescent="0.35">
      <c r="B4" t="s">
        <v>112</v>
      </c>
      <c r="D4">
        <v>201000</v>
      </c>
      <c r="E4" s="12">
        <f>SUM(E5:E7)</f>
        <v>0</v>
      </c>
    </row>
    <row r="5" spans="1:5" outlineLevel="2" x14ac:dyDescent="0.35">
      <c r="C5" t="s">
        <v>6</v>
      </c>
      <c r="D5">
        <v>201010</v>
      </c>
      <c r="E5" s="12"/>
    </row>
    <row r="6" spans="1:5" outlineLevel="2" x14ac:dyDescent="0.35">
      <c r="C6" t="s">
        <v>7</v>
      </c>
      <c r="D6">
        <v>201020</v>
      </c>
      <c r="E6" s="12"/>
    </row>
    <row r="7" spans="1:5" outlineLevel="2" x14ac:dyDescent="0.35">
      <c r="C7" t="s">
        <v>37</v>
      </c>
      <c r="D7">
        <v>201030</v>
      </c>
      <c r="E7" s="12"/>
    </row>
    <row r="8" spans="1:5" outlineLevel="1" x14ac:dyDescent="0.35">
      <c r="B8" t="s">
        <v>16</v>
      </c>
      <c r="D8">
        <v>202000</v>
      </c>
      <c r="E8" s="12">
        <f>SUM(E9:E11)</f>
        <v>0</v>
      </c>
    </row>
    <row r="9" spans="1:5" outlineLevel="2" x14ac:dyDescent="0.35">
      <c r="C9" t="s">
        <v>6</v>
      </c>
      <c r="D9">
        <v>202010</v>
      </c>
      <c r="E9" s="12"/>
    </row>
    <row r="10" spans="1:5" outlineLevel="2" x14ac:dyDescent="0.35">
      <c r="C10" t="s">
        <v>7</v>
      </c>
      <c r="D10">
        <v>202020</v>
      </c>
      <c r="E10" s="12"/>
    </row>
    <row r="11" spans="1:5" outlineLevel="2" x14ac:dyDescent="0.35">
      <c r="C11" t="s">
        <v>37</v>
      </c>
      <c r="D11">
        <v>202030</v>
      </c>
      <c r="E11" s="12"/>
    </row>
    <row r="12" spans="1:5" outlineLevel="1" x14ac:dyDescent="0.35">
      <c r="B12" t="s">
        <v>113</v>
      </c>
      <c r="D12">
        <v>203000</v>
      </c>
      <c r="E12" s="12">
        <f>SUM(E13:E15)</f>
        <v>0</v>
      </c>
    </row>
    <row r="13" spans="1:5" outlineLevel="2" x14ac:dyDescent="0.35">
      <c r="C13" t="s">
        <v>6</v>
      </c>
      <c r="D13">
        <v>203010</v>
      </c>
      <c r="E13" s="12"/>
    </row>
    <row r="14" spans="1:5" outlineLevel="2" x14ac:dyDescent="0.35">
      <c r="C14" t="s">
        <v>7</v>
      </c>
      <c r="D14">
        <v>203020</v>
      </c>
      <c r="E14" s="12"/>
    </row>
    <row r="15" spans="1:5" outlineLevel="2" x14ac:dyDescent="0.35">
      <c r="C15" t="s">
        <v>37</v>
      </c>
      <c r="D15">
        <v>203030</v>
      </c>
      <c r="E15" s="12"/>
    </row>
    <row r="16" spans="1:5" x14ac:dyDescent="0.35">
      <c r="A16" t="s">
        <v>10</v>
      </c>
      <c r="D16">
        <v>100000</v>
      </c>
      <c r="E16" s="12">
        <f>E17+E21+E25+E29+E33</f>
        <v>0</v>
      </c>
    </row>
    <row r="17" spans="2:5" outlineLevel="1" x14ac:dyDescent="0.35">
      <c r="B17" t="s">
        <v>21</v>
      </c>
      <c r="D17">
        <v>101000</v>
      </c>
      <c r="E17" s="12">
        <f>SUM(E18:E20)</f>
        <v>0</v>
      </c>
    </row>
    <row r="18" spans="2:5" outlineLevel="2" x14ac:dyDescent="0.35">
      <c r="C18" t="s">
        <v>6</v>
      </c>
      <c r="D18">
        <v>101010</v>
      </c>
      <c r="E18" s="12"/>
    </row>
    <row r="19" spans="2:5" outlineLevel="2" x14ac:dyDescent="0.35">
      <c r="C19" t="s">
        <v>7</v>
      </c>
      <c r="D19">
        <v>101020</v>
      </c>
      <c r="E19" s="12"/>
    </row>
    <row r="20" spans="2:5" outlineLevel="2" x14ac:dyDescent="0.35">
      <c r="C20" t="s">
        <v>37</v>
      </c>
      <c r="D20">
        <v>101030</v>
      </c>
      <c r="E20" s="12"/>
    </row>
    <row r="21" spans="2:5" outlineLevel="1" x14ac:dyDescent="0.35">
      <c r="B21" t="s">
        <v>25</v>
      </c>
      <c r="D21">
        <v>102000</v>
      </c>
      <c r="E21" s="12">
        <f>SUM(E22:E24)</f>
        <v>0</v>
      </c>
    </row>
    <row r="22" spans="2:5" outlineLevel="2" x14ac:dyDescent="0.35">
      <c r="C22" t="s">
        <v>6</v>
      </c>
      <c r="D22">
        <v>102010</v>
      </c>
      <c r="E22" s="12"/>
    </row>
    <row r="23" spans="2:5" outlineLevel="2" x14ac:dyDescent="0.35">
      <c r="C23" t="s">
        <v>7</v>
      </c>
      <c r="D23">
        <v>102020</v>
      </c>
      <c r="E23" s="12"/>
    </row>
    <row r="24" spans="2:5" outlineLevel="2" x14ac:dyDescent="0.35">
      <c r="C24" t="s">
        <v>37</v>
      </c>
      <c r="D24">
        <v>102030</v>
      </c>
      <c r="E24" s="12"/>
    </row>
    <row r="25" spans="2:5" outlineLevel="1" x14ac:dyDescent="0.35">
      <c r="B25" t="s">
        <v>26</v>
      </c>
      <c r="D25">
        <v>103000</v>
      </c>
      <c r="E25" s="12">
        <f>SUM(E26:E28)</f>
        <v>0</v>
      </c>
    </row>
    <row r="26" spans="2:5" outlineLevel="2" x14ac:dyDescent="0.35">
      <c r="C26" t="s">
        <v>6</v>
      </c>
      <c r="D26">
        <v>103010</v>
      </c>
      <c r="E26" s="12"/>
    </row>
    <row r="27" spans="2:5" outlineLevel="2" x14ac:dyDescent="0.35">
      <c r="C27" t="s">
        <v>7</v>
      </c>
      <c r="D27">
        <v>103020</v>
      </c>
      <c r="E27" s="12"/>
    </row>
    <row r="28" spans="2:5" outlineLevel="2" x14ac:dyDescent="0.35">
      <c r="C28" t="s">
        <v>37</v>
      </c>
      <c r="D28">
        <v>103030</v>
      </c>
      <c r="E28" s="12"/>
    </row>
    <row r="29" spans="2:5" outlineLevel="1" x14ac:dyDescent="0.35">
      <c r="B29" t="s">
        <v>28</v>
      </c>
      <c r="D29">
        <v>104000</v>
      </c>
      <c r="E29" s="12">
        <f>SUM(E30:E32)</f>
        <v>0</v>
      </c>
    </row>
    <row r="30" spans="2:5" outlineLevel="2" x14ac:dyDescent="0.35">
      <c r="C30" t="s">
        <v>6</v>
      </c>
      <c r="D30">
        <v>104010</v>
      </c>
      <c r="E30" s="12"/>
    </row>
    <row r="31" spans="2:5" outlineLevel="2" x14ac:dyDescent="0.35">
      <c r="C31" t="s">
        <v>7</v>
      </c>
      <c r="D31">
        <v>104020</v>
      </c>
      <c r="E31" s="12"/>
    </row>
    <row r="32" spans="2:5" outlineLevel="2" x14ac:dyDescent="0.35">
      <c r="C32" t="s">
        <v>37</v>
      </c>
      <c r="D32">
        <v>104030</v>
      </c>
      <c r="E32" s="12"/>
    </row>
    <row r="33" spans="2:5" outlineLevel="1" x14ac:dyDescent="0.35">
      <c r="B33" t="s">
        <v>97</v>
      </c>
      <c r="D33">
        <v>105000</v>
      </c>
      <c r="E33" s="12">
        <f>SUM(E34:E36)</f>
        <v>0</v>
      </c>
    </row>
    <row r="34" spans="2:5" outlineLevel="2" x14ac:dyDescent="0.35">
      <c r="C34" t="s">
        <v>6</v>
      </c>
      <c r="D34">
        <v>105010</v>
      </c>
      <c r="E34" s="12"/>
    </row>
    <row r="35" spans="2:5" outlineLevel="2" x14ac:dyDescent="0.35">
      <c r="C35" t="s">
        <v>7</v>
      </c>
      <c r="D35">
        <v>105020</v>
      </c>
      <c r="E35" s="12"/>
    </row>
    <row r="36" spans="2:5" outlineLevel="2" x14ac:dyDescent="0.35">
      <c r="C36" t="s">
        <v>37</v>
      </c>
      <c r="D36">
        <v>105030</v>
      </c>
      <c r="E36"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7EB41-89DF-452B-8859-C75F4BCBD1D6}">
  <sheetPr codeName="Sheet3"/>
  <dimension ref="A1:N2"/>
  <sheetViews>
    <sheetView workbookViewId="0">
      <selection activeCell="B4" sqref="B4"/>
    </sheetView>
  </sheetViews>
  <sheetFormatPr defaultRowHeight="14.5" x14ac:dyDescent="0.35"/>
  <cols>
    <col min="1" max="1" width="17.08984375" bestFit="1" customWidth="1"/>
  </cols>
  <sheetData>
    <row r="1" spans="1:14" x14ac:dyDescent="0.35">
      <c r="A1" s="2"/>
      <c r="B1" s="2"/>
      <c r="C1" s="2"/>
      <c r="D1" s="2" t="s">
        <v>6</v>
      </c>
      <c r="E1" s="2"/>
      <c r="F1" s="2"/>
      <c r="G1" s="2" t="s">
        <v>7</v>
      </c>
      <c r="H1" s="2"/>
      <c r="I1" s="2"/>
      <c r="J1" s="2" t="s">
        <v>37</v>
      </c>
      <c r="K1" s="2"/>
      <c r="L1" s="2"/>
      <c r="M1" s="2"/>
    </row>
    <row r="2" spans="1:14" x14ac:dyDescent="0.35">
      <c r="A2" s="18" t="s">
        <v>12</v>
      </c>
      <c r="B2" s="18" t="s">
        <v>11</v>
      </c>
      <c r="C2" s="18" t="s">
        <v>39</v>
      </c>
      <c r="D2" s="18" t="s">
        <v>46</v>
      </c>
      <c r="E2" s="18" t="s">
        <v>47</v>
      </c>
      <c r="F2" s="18" t="s">
        <v>57</v>
      </c>
      <c r="G2" s="18" t="s">
        <v>46</v>
      </c>
      <c r="H2" s="18" t="s">
        <v>47</v>
      </c>
      <c r="I2" s="18" t="s">
        <v>57</v>
      </c>
      <c r="J2" s="18" t="s">
        <v>46</v>
      </c>
      <c r="K2" s="18" t="s">
        <v>47</v>
      </c>
      <c r="L2" s="18" t="s">
        <v>57</v>
      </c>
      <c r="M2" s="6"/>
      <c r="N2"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Accounts</vt:lpstr>
      <vt:lpstr>Actions</vt:lpstr>
      <vt:lpstr>Participants</vt:lpstr>
      <vt:lpstr>Journal</vt:lpstr>
      <vt:lpstr>General Ledger</vt:lpstr>
      <vt:lpstr>Settlement Batches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Richards</dc:creator>
  <cp:lastModifiedBy>Michael Richards</cp:lastModifiedBy>
  <dcterms:created xsi:type="dcterms:W3CDTF">2025-07-10T08:39:21Z</dcterms:created>
  <dcterms:modified xsi:type="dcterms:W3CDTF">2025-10-27T11:23:52Z</dcterms:modified>
</cp:coreProperties>
</file>